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 Carolina Souza\Documents\Excel\Games\RPG project\"/>
    </mc:Choice>
  </mc:AlternateContent>
  <xr:revisionPtr revIDLastSave="0" documentId="13_ncr:1_{84AA965F-318B-4230-A22C-4FED3EB2B9D3}" xr6:coauthVersionLast="44" xr6:coauthVersionMax="44" xr10:uidLastSave="{00000000-0000-0000-0000-000000000000}"/>
  <bookViews>
    <workbookView xWindow="-120" yWindow="-120" windowWidth="20730" windowHeight="11160" activeTab="2" xr2:uid="{82C66850-C2FE-4B57-BD33-106D59D21B43}"/>
  </bookViews>
  <sheets>
    <sheet name="Stats" sheetId="1" r:id="rId1"/>
    <sheet name="Info" sheetId="3" r:id="rId2"/>
    <sheet name="Pla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" i="1" l="1"/>
  <c r="L9" i="1"/>
  <c r="J9" i="1"/>
  <c r="E16" i="1"/>
  <c r="E15" i="1"/>
  <c r="D15" i="1"/>
  <c r="F9" i="1" s="1"/>
  <c r="E14" i="1"/>
  <c r="D14" i="1"/>
  <c r="E13" i="1"/>
  <c r="D13" i="1"/>
  <c r="F7" i="1" s="1"/>
  <c r="F8" i="1" l="1"/>
</calcChain>
</file>

<file path=xl/sharedStrings.xml><?xml version="1.0" encoding="utf-8"?>
<sst xmlns="http://schemas.openxmlformats.org/spreadsheetml/2006/main" count="114" uniqueCount="42">
  <si>
    <t>Attack</t>
  </si>
  <si>
    <t>Defense</t>
  </si>
  <si>
    <t>Magic</t>
  </si>
  <si>
    <t>Tie</t>
  </si>
  <si>
    <t>&lt;</t>
  </si>
  <si>
    <t>&gt;</t>
  </si>
  <si>
    <t>Hit</t>
  </si>
  <si>
    <t>Take</t>
  </si>
  <si>
    <t>+1</t>
  </si>
  <si>
    <t>-1</t>
  </si>
  <si>
    <t>Modifiers</t>
  </si>
  <si>
    <t>Base Stats</t>
  </si>
  <si>
    <t>Player</t>
  </si>
  <si>
    <t>Goblin</t>
  </si>
  <si>
    <t>Health</t>
  </si>
  <si>
    <t>Att X Att</t>
  </si>
  <si>
    <t>Def X Def</t>
  </si>
  <si>
    <t>Mag X Mag</t>
  </si>
  <si>
    <t>Att X Def</t>
  </si>
  <si>
    <t>Def X Mag</t>
  </si>
  <si>
    <t>Mag X Att</t>
  </si>
  <si>
    <t>Att X Mag</t>
  </si>
  <si>
    <t>Def X Att</t>
  </si>
  <si>
    <t>Mag X Def</t>
  </si>
  <si>
    <t>Player 1</t>
  </si>
  <si>
    <t>Player 2</t>
  </si>
  <si>
    <t>Result</t>
  </si>
  <si>
    <t>Input</t>
  </si>
  <si>
    <t>Output</t>
  </si>
  <si>
    <t>-</t>
  </si>
  <si>
    <t>3+1</t>
  </si>
  <si>
    <t>3-1</t>
  </si>
  <si>
    <t>Avg Dmg</t>
  </si>
  <si>
    <t>Pattern</t>
  </si>
  <si>
    <t>Slime</t>
  </si>
  <si>
    <t>Gnome</t>
  </si>
  <si>
    <t>Goblin Warrior</t>
  </si>
  <si>
    <t>GW</t>
  </si>
  <si>
    <t>Mobs</t>
  </si>
  <si>
    <t>Common</t>
  </si>
  <si>
    <t>Mini Boss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</si>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</sst>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99CC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0" xfId="0" applyBorder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4" xfId="0" quotePrefix="1" applyNumberFormat="1" applyFill="1" applyBorder="1" applyAlignment="1">
      <alignment horizontal="center"/>
    </xf>
    <xf numFmtId="16" fontId="0" fillId="0" borderId="5" xfId="0" quotePrefix="1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16" fontId="0" fillId="0" borderId="7" xfId="0" quotePrefix="1" applyNumberForma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2" fillId="0" borderId="10" xfId="0" applyFont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9" fontId="0" fillId="0" borderId="1" xfId="1" applyFont="1" applyBorder="1"/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">
    <dxf>
      <fill>
        <patternFill>
          <bgColor rgb="FF99FFCC"/>
        </patternFill>
      </fill>
    </dxf>
    <dxf>
      <fill>
        <patternFill>
          <bgColor rgb="FFCC99FF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C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2</xdr:col>
          <xdr:colOff>9525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1DF3E-B9E0-4EB7-8EFC-98B5E27A7E82}">
  <sheetPr codeName="Sheet1"/>
  <dimension ref="A1:N21"/>
  <sheetViews>
    <sheetView workbookViewId="0">
      <selection activeCell="E4" sqref="E1:E4"/>
    </sheetView>
  </sheetViews>
  <sheetFormatPr defaultRowHeight="15" x14ac:dyDescent="0.25"/>
  <cols>
    <col min="1" max="1" width="10.42578125" bestFit="1" customWidth="1"/>
    <col min="2" max="2" width="9.140625" style="1"/>
    <col min="5" max="5" width="9.85546875" bestFit="1" customWidth="1"/>
    <col min="9" max="9" width="9.85546875" bestFit="1" customWidth="1"/>
  </cols>
  <sheetData>
    <row r="1" spans="1:14" x14ac:dyDescent="0.25">
      <c r="A1" s="7" t="s">
        <v>0</v>
      </c>
      <c r="B1" s="3" t="s">
        <v>3</v>
      </c>
      <c r="C1" s="7" t="s">
        <v>0</v>
      </c>
      <c r="E1" t="s">
        <v>10</v>
      </c>
      <c r="F1" s="7" t="s">
        <v>6</v>
      </c>
      <c r="G1" s="7" t="s">
        <v>7</v>
      </c>
      <c r="I1" t="s">
        <v>11</v>
      </c>
      <c r="J1" s="7" t="s">
        <v>12</v>
      </c>
      <c r="K1" s="7" t="s">
        <v>13</v>
      </c>
      <c r="L1" s="7" t="s">
        <v>34</v>
      </c>
      <c r="M1" s="7" t="s">
        <v>35</v>
      </c>
      <c r="N1" s="7" t="s">
        <v>37</v>
      </c>
    </row>
    <row r="2" spans="1:14" x14ac:dyDescent="0.25">
      <c r="A2" s="7" t="s">
        <v>1</v>
      </c>
      <c r="B2" s="3" t="s">
        <v>3</v>
      </c>
      <c r="C2" s="7" t="s">
        <v>1</v>
      </c>
      <c r="E2" s="7" t="s">
        <v>0</v>
      </c>
      <c r="F2" s="6" t="s">
        <v>8</v>
      </c>
      <c r="G2" s="6" t="s">
        <v>9</v>
      </c>
      <c r="I2" s="7" t="s">
        <v>14</v>
      </c>
      <c r="J2" s="6">
        <v>10</v>
      </c>
      <c r="K2" s="6">
        <v>6</v>
      </c>
      <c r="L2" s="6">
        <v>8</v>
      </c>
      <c r="M2" s="6">
        <v>5</v>
      </c>
      <c r="N2" s="6">
        <v>10</v>
      </c>
    </row>
    <row r="3" spans="1:14" x14ac:dyDescent="0.25">
      <c r="A3" s="7" t="s">
        <v>2</v>
      </c>
      <c r="B3" s="3" t="s">
        <v>3</v>
      </c>
      <c r="C3" s="7" t="s">
        <v>2</v>
      </c>
      <c r="E3" s="7" t="s">
        <v>1</v>
      </c>
      <c r="F3" s="6" t="s">
        <v>9</v>
      </c>
      <c r="G3" s="6" t="s">
        <v>8</v>
      </c>
      <c r="I3" s="7" t="s">
        <v>0</v>
      </c>
      <c r="J3" s="6">
        <v>3</v>
      </c>
      <c r="K3" s="6">
        <v>2</v>
      </c>
      <c r="L3" s="6">
        <v>2</v>
      </c>
      <c r="M3" s="6">
        <v>2</v>
      </c>
      <c r="N3" s="6">
        <v>2</v>
      </c>
    </row>
    <row r="4" spans="1:14" x14ac:dyDescent="0.25">
      <c r="A4" s="7" t="s">
        <v>0</v>
      </c>
      <c r="B4" s="4" t="s">
        <v>4</v>
      </c>
      <c r="C4" s="7" t="s">
        <v>1</v>
      </c>
      <c r="E4" s="7" t="s">
        <v>2</v>
      </c>
      <c r="F4" s="6">
        <v>0</v>
      </c>
      <c r="G4" s="6">
        <v>0</v>
      </c>
    </row>
    <row r="5" spans="1:14" x14ac:dyDescent="0.25">
      <c r="A5" s="7" t="s">
        <v>1</v>
      </c>
      <c r="B5" s="4" t="s">
        <v>4</v>
      </c>
      <c r="C5" s="7" t="s">
        <v>2</v>
      </c>
    </row>
    <row r="6" spans="1:14" x14ac:dyDescent="0.25">
      <c r="A6" s="7" t="s">
        <v>2</v>
      </c>
      <c r="B6" s="4" t="s">
        <v>4</v>
      </c>
      <c r="C6" s="7" t="s">
        <v>0</v>
      </c>
      <c r="E6" t="s">
        <v>32</v>
      </c>
      <c r="F6" s="7" t="s">
        <v>28</v>
      </c>
      <c r="I6" t="s">
        <v>33</v>
      </c>
      <c r="J6" s="7" t="s">
        <v>13</v>
      </c>
      <c r="K6" s="7" t="s">
        <v>34</v>
      </c>
      <c r="L6" s="7" t="s">
        <v>35</v>
      </c>
      <c r="M6" s="7" t="s">
        <v>37</v>
      </c>
    </row>
    <row r="7" spans="1:14" x14ac:dyDescent="0.25">
      <c r="A7" s="7" t="s">
        <v>0</v>
      </c>
      <c r="B7" s="5" t="s">
        <v>5</v>
      </c>
      <c r="C7" s="7" t="s">
        <v>2</v>
      </c>
      <c r="E7" s="7" t="s">
        <v>0</v>
      </c>
      <c r="F7" s="2">
        <f>ROUND(AVERAGE(D13:E13,D16,E18,D19,E20),0)</f>
        <v>2</v>
      </c>
      <c r="I7" s="7" t="s">
        <v>0</v>
      </c>
      <c r="J7" s="40">
        <v>0.7</v>
      </c>
      <c r="K7" s="40">
        <v>0.15</v>
      </c>
      <c r="L7" s="40">
        <v>0.15</v>
      </c>
      <c r="M7" s="40">
        <v>0.65</v>
      </c>
    </row>
    <row r="8" spans="1:14" x14ac:dyDescent="0.25">
      <c r="A8" s="7" t="s">
        <v>1</v>
      </c>
      <c r="B8" s="5" t="s">
        <v>5</v>
      </c>
      <c r="C8" s="7" t="s">
        <v>0</v>
      </c>
      <c r="E8" s="7" t="s">
        <v>1</v>
      </c>
      <c r="F8" s="2">
        <f>ROUND(AVERAGE(D14,E14,E16,D17,D20,E21),0)</f>
        <v>1</v>
      </c>
      <c r="I8" s="7" t="s">
        <v>1</v>
      </c>
      <c r="J8" s="40">
        <v>0.3</v>
      </c>
      <c r="K8" s="40">
        <v>0.75</v>
      </c>
      <c r="L8" s="40">
        <v>0.25</v>
      </c>
      <c r="M8" s="40">
        <v>0.2</v>
      </c>
    </row>
    <row r="9" spans="1:14" x14ac:dyDescent="0.25">
      <c r="A9" s="7" t="s">
        <v>2</v>
      </c>
      <c r="B9" s="5" t="s">
        <v>5</v>
      </c>
      <c r="C9" s="7" t="s">
        <v>1</v>
      </c>
      <c r="E9" s="7" t="s">
        <v>2</v>
      </c>
      <c r="F9" s="2">
        <f>ROUND(AVERAGE(D15,E15,E17,D18,E19,D21),0)</f>
        <v>1</v>
      </c>
      <c r="I9" s="7" t="s">
        <v>2</v>
      </c>
      <c r="J9" s="40">
        <f>1-SUM(J7:J8)</f>
        <v>0</v>
      </c>
      <c r="K9" s="40">
        <f t="shared" ref="K9:L9" si="0">1-SUM(K7:K8)</f>
        <v>9.9999999999999978E-2</v>
      </c>
      <c r="L9" s="40">
        <f t="shared" si="0"/>
        <v>0.6</v>
      </c>
      <c r="M9" s="40">
        <v>0.15</v>
      </c>
    </row>
    <row r="10" spans="1:14" ht="15.75" thickBot="1" x14ac:dyDescent="0.3">
      <c r="A10" s="8"/>
      <c r="B10"/>
      <c r="C10" s="8"/>
    </row>
    <row r="11" spans="1:14" x14ac:dyDescent="0.25">
      <c r="B11" s="47" t="s">
        <v>27</v>
      </c>
      <c r="C11" s="48"/>
      <c r="D11" s="47" t="s">
        <v>28</v>
      </c>
      <c r="E11" s="48"/>
      <c r="F11" s="16" t="s">
        <v>26</v>
      </c>
      <c r="I11" t="s">
        <v>38</v>
      </c>
      <c r="J11" s="7" t="s">
        <v>39</v>
      </c>
      <c r="K11" s="7" t="s">
        <v>40</v>
      </c>
    </row>
    <row r="12" spans="1:14" ht="15.75" thickBot="1" x14ac:dyDescent="0.3">
      <c r="B12" s="27" t="s">
        <v>24</v>
      </c>
      <c r="C12" s="28" t="s">
        <v>25</v>
      </c>
      <c r="D12" s="27" t="s">
        <v>24</v>
      </c>
      <c r="E12" s="28" t="s">
        <v>25</v>
      </c>
      <c r="F12" s="29" t="s">
        <v>29</v>
      </c>
      <c r="J12" s="40" t="s">
        <v>13</v>
      </c>
      <c r="K12" s="40" t="s">
        <v>36</v>
      </c>
    </row>
    <row r="13" spans="1:14" x14ac:dyDescent="0.25">
      <c r="A13" s="21" t="s">
        <v>15</v>
      </c>
      <c r="B13" s="24" t="s">
        <v>30</v>
      </c>
      <c r="C13" s="25" t="s">
        <v>30</v>
      </c>
      <c r="D13" s="30">
        <f>ROUND((3+1+1)/2,0)</f>
        <v>3</v>
      </c>
      <c r="E13" s="31">
        <f>ROUND((3+1+1)/2,0)</f>
        <v>3</v>
      </c>
      <c r="F13" s="26" t="s">
        <v>3</v>
      </c>
      <c r="J13" s="40" t="s">
        <v>34</v>
      </c>
      <c r="K13" s="40"/>
    </row>
    <row r="14" spans="1:14" x14ac:dyDescent="0.25">
      <c r="A14" s="22" t="s">
        <v>16</v>
      </c>
      <c r="B14" s="11" t="s">
        <v>31</v>
      </c>
      <c r="C14" s="12" t="s">
        <v>31</v>
      </c>
      <c r="D14" s="32">
        <f>ROUND((3-1-1)/2,0)</f>
        <v>1</v>
      </c>
      <c r="E14" s="33">
        <f>ROUND((3-1-1)/2,0)</f>
        <v>1</v>
      </c>
      <c r="F14" s="17" t="s">
        <v>3</v>
      </c>
      <c r="J14" s="40" t="s">
        <v>35</v>
      </c>
      <c r="K14" s="40"/>
    </row>
    <row r="15" spans="1:14" x14ac:dyDescent="0.25">
      <c r="A15" s="22" t="s">
        <v>17</v>
      </c>
      <c r="B15" s="9">
        <v>3</v>
      </c>
      <c r="C15" s="13">
        <v>3</v>
      </c>
      <c r="D15" s="34">
        <f>ROUND((3+0-0)/2,0)</f>
        <v>2</v>
      </c>
      <c r="E15" s="35">
        <f>ROUND((3+0-0)/2,0)</f>
        <v>2</v>
      </c>
      <c r="F15" s="17" t="s">
        <v>3</v>
      </c>
    </row>
    <row r="16" spans="1:14" x14ac:dyDescent="0.25">
      <c r="A16" s="22" t="s">
        <v>18</v>
      </c>
      <c r="B16" s="9" t="s">
        <v>30</v>
      </c>
      <c r="C16" s="12" t="s">
        <v>31</v>
      </c>
      <c r="D16" s="36">
        <v>0</v>
      </c>
      <c r="E16" s="33">
        <f>2+1</f>
        <v>3</v>
      </c>
      <c r="F16" s="18" t="s">
        <v>4</v>
      </c>
    </row>
    <row r="17" spans="1:6" x14ac:dyDescent="0.25">
      <c r="A17" s="22" t="s">
        <v>19</v>
      </c>
      <c r="B17" s="11" t="s">
        <v>31</v>
      </c>
      <c r="C17" s="13">
        <v>3</v>
      </c>
      <c r="D17" s="32">
        <v>0</v>
      </c>
      <c r="E17" s="35">
        <v>2</v>
      </c>
      <c r="F17" s="18" t="s">
        <v>4</v>
      </c>
    </row>
    <row r="18" spans="1:6" x14ac:dyDescent="0.25">
      <c r="A18" s="22" t="s">
        <v>20</v>
      </c>
      <c r="B18" s="9">
        <v>3</v>
      </c>
      <c r="C18" s="10" t="s">
        <v>30</v>
      </c>
      <c r="D18" s="34">
        <v>0</v>
      </c>
      <c r="E18" s="37">
        <v>4</v>
      </c>
      <c r="F18" s="18" t="s">
        <v>4</v>
      </c>
    </row>
    <row r="19" spans="1:6" x14ac:dyDescent="0.25">
      <c r="A19" s="22" t="s">
        <v>21</v>
      </c>
      <c r="B19" s="9" t="s">
        <v>30</v>
      </c>
      <c r="C19" s="13">
        <v>3</v>
      </c>
      <c r="D19" s="36">
        <v>4</v>
      </c>
      <c r="E19" s="35">
        <v>0</v>
      </c>
      <c r="F19" s="19" t="s">
        <v>5</v>
      </c>
    </row>
    <row r="20" spans="1:6" x14ac:dyDescent="0.25">
      <c r="A20" s="22" t="s">
        <v>22</v>
      </c>
      <c r="B20" s="11" t="s">
        <v>31</v>
      </c>
      <c r="C20" s="10" t="s">
        <v>30</v>
      </c>
      <c r="D20" s="32">
        <v>3</v>
      </c>
      <c r="E20" s="37">
        <v>0</v>
      </c>
      <c r="F20" s="19" t="s">
        <v>5</v>
      </c>
    </row>
    <row r="21" spans="1:6" ht="15.75" thickBot="1" x14ac:dyDescent="0.3">
      <c r="A21" s="23" t="s">
        <v>23</v>
      </c>
      <c r="B21" s="14">
        <v>3</v>
      </c>
      <c r="C21" s="15" t="s">
        <v>31</v>
      </c>
      <c r="D21" s="38">
        <v>2</v>
      </c>
      <c r="E21" s="39">
        <v>0</v>
      </c>
      <c r="F21" s="20" t="s">
        <v>5</v>
      </c>
    </row>
  </sheetData>
  <mergeCells count="2">
    <mergeCell ref="B11:C11"/>
    <mergeCell ref="D11:E11"/>
  </mergeCells>
  <conditionalFormatting sqref="B13:C21">
    <cfRule type="cellIs" dxfId="2" priority="1" operator="equal">
      <formula>3</formula>
    </cfRule>
    <cfRule type="cellIs" dxfId="1" priority="2" operator="equal">
      <formula>"3-1"</formula>
    </cfRule>
    <cfRule type="cellIs" dxfId="0" priority="3" operator="equal">
      <formula>"3+1"</formula>
    </cfRule>
  </conditionalFormatting>
  <pageMargins left="0.7" right="0.7" top="0.75" bottom="0.75" header="0.3" footer="0.3"/>
  <pageSetup paperSize="9" orientation="portrait" r:id="rId1"/>
  <ignoredErrors>
    <ignoredError sqref="F2:G3" numberStoredAsText="1"/>
    <ignoredError sqref="D14:E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0CA96-0E52-4E49-90EA-F73525FB018B}">
  <sheetPr codeName="Sheet3"/>
  <dimension ref="A1:A2"/>
  <sheetViews>
    <sheetView workbookViewId="0">
      <selection sqref="A1:A2"/>
    </sheetView>
  </sheetViews>
  <sheetFormatPr defaultRowHeight="15" x14ac:dyDescent="0.25"/>
  <sheetData>
    <row r="1" spans="1:1" x14ac:dyDescent="0.25">
      <c r="A1" t="s">
        <v>41</v>
      </c>
    </row>
    <row r="2" spans="1:1" x14ac:dyDescent="0.25">
      <c r="A2">
        <v>2</v>
      </c>
    </row>
  </sheetData>
  <sheetProtection algorithmName="SHA-512" hashValue="gv/XdQ21pwuOkj16SSxboadJYSS+Za0x5LDVTo3jqdaOmU8c37gWnDp/cDb64zaj5BDU6RLH2c7t/5xv9QCksQ==" saltValue="G64xhzaGMAGrXeAv5cyU1g==" spinCount="100000"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39B09-7A18-4C1A-85E2-E8032EF0DAB0}">
  <sheetPr codeName="Sheet2"/>
  <dimension ref="D1:G5"/>
  <sheetViews>
    <sheetView tabSelected="1" workbookViewId="0">
      <selection activeCell="F12" sqref="F12"/>
    </sheetView>
  </sheetViews>
  <sheetFormatPr defaultRowHeight="15" x14ac:dyDescent="0.25"/>
  <sheetData>
    <row r="1" spans="4:7" ht="15.75" thickBot="1" x14ac:dyDescent="0.3"/>
    <row r="2" spans="4:7" ht="15.75" thickBot="1" x14ac:dyDescent="0.3">
      <c r="E2" s="44" t="s">
        <v>27</v>
      </c>
      <c r="F2" s="45" t="s">
        <v>6</v>
      </c>
      <c r="G2" s="46" t="s">
        <v>7</v>
      </c>
    </row>
    <row r="3" spans="4:7" x14ac:dyDescent="0.25">
      <c r="D3" s="21" t="s">
        <v>0</v>
      </c>
      <c r="E3" s="42">
        <v>1</v>
      </c>
      <c r="F3" s="43" t="s">
        <v>8</v>
      </c>
      <c r="G3" s="43" t="s">
        <v>9</v>
      </c>
    </row>
    <row r="4" spans="4:7" x14ac:dyDescent="0.25">
      <c r="D4" s="22" t="s">
        <v>1</v>
      </c>
      <c r="E4" s="41">
        <v>2</v>
      </c>
      <c r="F4" s="6" t="s">
        <v>9</v>
      </c>
      <c r="G4" s="6" t="s">
        <v>8</v>
      </c>
    </row>
    <row r="5" spans="4:7" ht="15.75" thickBot="1" x14ac:dyDescent="0.3">
      <c r="D5" s="23" t="s">
        <v>2</v>
      </c>
      <c r="E5" s="41">
        <v>3</v>
      </c>
      <c r="F5" s="6">
        <v>0</v>
      </c>
      <c r="G5" s="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rt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2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Stats</vt:lpstr>
      <vt:lpstr>Info</vt:lpstr>
      <vt:lpstr>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Carolina Souza</dc:creator>
  <cp:lastModifiedBy>Ana Carolina Souza</cp:lastModifiedBy>
  <dcterms:created xsi:type="dcterms:W3CDTF">2019-09-17T10:30:00Z</dcterms:created>
  <dcterms:modified xsi:type="dcterms:W3CDTF">2019-09-27T18:57:01Z</dcterms:modified>
</cp:coreProperties>
</file>